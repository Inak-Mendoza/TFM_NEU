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TFM_NEU\"/>
    </mc:Choice>
  </mc:AlternateContent>
  <xr:revisionPtr revIDLastSave="0" documentId="13_ncr:1_{361650AF-2AB5-428F-A419-463A2436BB6E}" xr6:coauthVersionLast="47" xr6:coauthVersionMax="47" xr10:uidLastSave="{00000000-0000-0000-0000-000000000000}"/>
  <bookViews>
    <workbookView xWindow="-38520" yWindow="-2055" windowWidth="38640" windowHeight="21120" xr2:uid="{B1C3D829-37D9-454F-9F7F-CDE7CD3158A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3" i="1" l="1"/>
  <c r="AB23" i="1"/>
  <c r="AA23" i="1"/>
  <c r="Z23" i="1"/>
  <c r="AC22" i="1"/>
  <c r="AB22" i="1"/>
  <c r="AA22" i="1"/>
  <c r="Z22" i="1"/>
  <c r="AC21" i="1"/>
  <c r="AB21" i="1"/>
  <c r="AA21" i="1"/>
  <c r="Z21" i="1"/>
  <c r="AC20" i="1"/>
  <c r="AB20" i="1"/>
  <c r="AA20" i="1"/>
  <c r="Z20" i="1"/>
  <c r="AC19" i="1"/>
  <c r="AB19" i="1"/>
  <c r="AA19" i="1"/>
  <c r="Z19" i="1"/>
  <c r="AC18" i="1"/>
  <c r="AB18" i="1"/>
  <c r="AA18" i="1"/>
  <c r="Z18" i="1"/>
  <c r="AC17" i="1"/>
  <c r="AB17" i="1"/>
  <c r="AA17" i="1"/>
  <c r="Z17" i="1"/>
  <c r="P16" i="1"/>
  <c r="P17" i="1"/>
  <c r="P18" i="1"/>
  <c r="P19" i="1"/>
  <c r="S17" i="1"/>
  <c r="S18" i="1"/>
  <c r="S19" i="1"/>
  <c r="S20" i="1"/>
  <c r="S21" i="1"/>
  <c r="S22" i="1"/>
  <c r="R17" i="1"/>
  <c r="R18" i="1"/>
  <c r="R19" i="1"/>
  <c r="R20" i="1"/>
  <c r="R21" i="1"/>
  <c r="R22" i="1"/>
  <c r="Q17" i="1"/>
  <c r="Q18" i="1"/>
  <c r="Q19" i="1"/>
  <c r="Q20" i="1"/>
  <c r="Q21" i="1"/>
  <c r="Q22" i="1"/>
  <c r="Q16" i="1"/>
  <c r="R16" i="1"/>
  <c r="S16" i="1"/>
  <c r="P20" i="1"/>
  <c r="P21" i="1"/>
  <c r="P22" i="1"/>
</calcChain>
</file>

<file path=xl/sharedStrings.xml><?xml version="1.0" encoding="utf-8"?>
<sst xmlns="http://schemas.openxmlformats.org/spreadsheetml/2006/main" count="159" uniqueCount="82">
  <si>
    <t>Class</t>
  </si>
  <si>
    <t>Images</t>
  </si>
  <si>
    <t xml:space="preserve">Instances </t>
  </si>
  <si>
    <t>Precision</t>
  </si>
  <si>
    <t>R</t>
  </si>
  <si>
    <t>mAP50</t>
  </si>
  <si>
    <t>mAP50-95</t>
  </si>
  <si>
    <t>all</t>
  </si>
  <si>
    <t>crazing</t>
  </si>
  <si>
    <t>inclusion</t>
  </si>
  <si>
    <t>patches</t>
  </si>
  <si>
    <t>pitted_surface</t>
  </si>
  <si>
    <t>rolled-in_scale</t>
  </si>
  <si>
    <t>scratches</t>
  </si>
  <si>
    <t>    epochs=100,</t>
  </si>
  <si>
    <t>    imgsz=448,</t>
  </si>
  <si>
    <t>    batch=16,</t>
  </si>
  <si>
    <t>    name='tfm_steel_aimgsz_448_mixup_0-5',</t>
  </si>
  <si>
    <t>    device=0</t>
  </si>
  <si>
    <t>)</t>
  </si>
  <si>
    <t>Config</t>
  </si>
  <si>
    <t xml:space="preserve">model = YOLO('yolov8n,pt') </t>
  </si>
  <si>
    <t xml:space="preserve">model = YOLO('yolov8s,pt') </t>
  </si>
  <si>
    <t>results = model,train(</t>
  </si>
  <si>
    <t>    data=',,/dataset_config,yaml',  # El nuevo nombre que le hemos dado</t>
  </si>
  <si>
    <t>    mixup=0,5,    # Un toque de MixUp suele ayudar más en acero</t>
  </si>
  <si>
    <t>    hsv_h=0,015,   # Cambia el tono (color) un poco</t>
  </si>
  <si>
    <t>    hsv_s=0,7,     # Cambia la saturación</t>
  </si>
  <si>
    <t>Speed: 0,3ms preprocess, 9,3ms inference, 0,0ms loss, 1,6ms postprocess per image</t>
  </si>
  <si>
    <t>    hsv_v=0,4,     # Cambia el brillo (muy útil para reflejos en el acero)</t>
  </si>
  <si>
    <t>    degrees=10,0,  # Rota las imágenes hasta 10 grados (recalcula etiquetas solo)</t>
  </si>
  <si>
    <t>    translate=0,1, # Mueve la imagen un 10% (mueve etiquetas también)</t>
  </si>
  <si>
    <t>    scale=0,5,     # Zoom hacia afuera/adentro</t>
  </si>
  <si>
    <t>    flipud=0,5,    # Volteo vertical (50% de probabilidad)</t>
  </si>
  <si>
    <t>    fliplr=0,5,    # Volteo horizontal (50% de probabilidad)</t>
  </si>
  <si>
    <t>    mosaic=1,0,    # Mezcla 4 imágenes en una (ya lo hacía, pero aquí lo confirmas)</t>
  </si>
  <si>
    <t>Comparativa Nano vs Small</t>
  </si>
  <si>
    <t>results = model.train(</t>
  </si>
  <si>
    <t>    data='../dataset_config.yaml',  # El nuevo nombre que le hemos dado</t>
  </si>
  <si>
    <t>    imgsz=640,</t>
  </si>
  <si>
    <t>    batch=32,</t>
  </si>
  <si>
    <t>    optimizer='AdamW',  # &lt;--- Optimizador más inteligente</t>
  </si>
  <si>
    <t>    label_smoothing=0.1,</t>
  </si>
  <si>
    <t>    mixup=0.5,    # Un toque de MixUp suele ayudar más en acero</t>
  </si>
  <si>
    <t>    hsv_h=0.015,   # Cambia el tono (color) un poco</t>
  </si>
  <si>
    <t>    hsv_s=0.7,     # Cambia la saturación</t>
  </si>
  <si>
    <t>    hsv_v=0.4,     # Cambia el brillo (muy útil para reflejos en el acero)</t>
  </si>
  <si>
    <t>    degrees=10.0,  # Rota las imágenes hasta 10 grados (recalcula etiquetas solo)</t>
  </si>
  <si>
    <t>    translate=0.1, # Mueve la imagen un 10% (mueve etiquetas también)</t>
  </si>
  <si>
    <t>    scale=0.5,     # Zoom hacia afuera/adentro</t>
  </si>
  <si>
    <t>    flipud=0.5,    # Volteo vertical (50% de probabilidad)</t>
  </si>
  <si>
    <t>    fliplr=0.5,    # Volteo horizontal (50% de probabilidad)</t>
  </si>
  <si>
    <t>    mosaic=1.0,    # Mezcla 4 imágenes en una (ya lo hacía, pero aquí lo confirmas)</t>
  </si>
  <si>
    <t>    name='tfm_steel_aimgsz_640_AdaW_yolov8s',</t>
  </si>
  <si>
    <t>0.648</t>
  </si>
  <si>
    <t>0.699</t>
  </si>
  <si>
    <t>0.729</t>
  </si>
  <si>
    <t>0.379</t>
  </si>
  <si>
    <t>0.554</t>
  </si>
  <si>
    <t>0.251</t>
  </si>
  <si>
    <t>0.399</t>
  </si>
  <si>
    <t>0.133</t>
  </si>
  <si>
    <t>0.618</t>
  </si>
  <si>
    <t>0.731</t>
  </si>
  <si>
    <t>0.734</t>
  </si>
  <si>
    <t>0.349</t>
  </si>
  <si>
    <t>0.781</t>
  </si>
  <si>
    <t>0.95</t>
  </si>
  <si>
    <t>0.939</t>
  </si>
  <si>
    <t>0.591</t>
  </si>
  <si>
    <t>0.767</t>
  </si>
  <si>
    <t>0.797</t>
  </si>
  <si>
    <t>0.859</t>
  </si>
  <si>
    <t>0.477</t>
  </si>
  <si>
    <t>0.56</t>
  </si>
  <si>
    <t>0.627</t>
  </si>
  <si>
    <t>0.612</t>
  </si>
  <si>
    <t>0.302</t>
  </si>
  <si>
    <t>0.609</t>
  </si>
  <si>
    <t>0.839</t>
  </si>
  <si>
    <t>0.828</t>
  </si>
  <si>
    <t>0.42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</si>
</sst>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0" fontId="0" fillId="0" borderId="0" xfId="0" applyNumberForma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383FF-B24A-4DF5-9655-B84368EDFCD8}">
  <dimension ref="A1:AC24"/>
  <sheetViews>
    <sheetView tabSelected="1" topLeftCell="E1" zoomScale="85" zoomScaleNormal="85" workbookViewId="0">
      <selection activeCell="U29" sqref="U29"/>
    </sheetView>
  </sheetViews>
  <sheetFormatPr baseColWidth="10" defaultRowHeight="15" x14ac:dyDescent="0.25"/>
  <cols>
    <col min="1" max="1" width="73.5703125" customWidth="1"/>
    <col min="11" max="11" width="72" customWidth="1"/>
    <col min="16" max="16" width="14.140625" customWidth="1"/>
    <col min="21" max="21" width="76.85546875" customWidth="1"/>
  </cols>
  <sheetData>
    <row r="1" spans="1:29" x14ac:dyDescent="0.25">
      <c r="A1" s="2" t="s">
        <v>20</v>
      </c>
      <c r="K1" s="2" t="s">
        <v>20</v>
      </c>
      <c r="U1" s="2" t="s">
        <v>20</v>
      </c>
    </row>
    <row r="2" spans="1:29" x14ac:dyDescent="0.25">
      <c r="A2" s="2" t="s">
        <v>21</v>
      </c>
      <c r="K2" s="2" t="s">
        <v>22</v>
      </c>
      <c r="U2" s="2" t="s">
        <v>22</v>
      </c>
    </row>
    <row r="3" spans="1:29" x14ac:dyDescent="0.25">
      <c r="A3" s="3" t="s">
        <v>23</v>
      </c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K3" s="3" t="s">
        <v>23</v>
      </c>
      <c r="M3" s="4" t="s">
        <v>0</v>
      </c>
      <c r="N3" s="4" t="s">
        <v>1</v>
      </c>
      <c r="O3" s="4" t="s">
        <v>2</v>
      </c>
      <c r="P3" s="4" t="s">
        <v>3</v>
      </c>
      <c r="Q3" s="4" t="s">
        <v>4</v>
      </c>
      <c r="R3" s="4" t="s">
        <v>5</v>
      </c>
      <c r="S3" s="4" t="s">
        <v>6</v>
      </c>
      <c r="U3" s="3" t="s">
        <v>37</v>
      </c>
      <c r="W3" s="4" t="s">
        <v>0</v>
      </c>
      <c r="X3" s="4" t="s">
        <v>1</v>
      </c>
      <c r="Y3" s="4" t="s">
        <v>2</v>
      </c>
      <c r="Z3" s="4" t="s">
        <v>3</v>
      </c>
      <c r="AA3" s="4" t="s">
        <v>4</v>
      </c>
      <c r="AB3" s="4" t="s">
        <v>5</v>
      </c>
      <c r="AC3" s="4" t="s">
        <v>6</v>
      </c>
    </row>
    <row r="4" spans="1:29" x14ac:dyDescent="0.25">
      <c r="A4" s="3" t="s">
        <v>24</v>
      </c>
      <c r="C4" s="5" t="s">
        <v>7</v>
      </c>
      <c r="D4" s="6">
        <v>180</v>
      </c>
      <c r="E4" s="6">
        <v>442</v>
      </c>
      <c r="F4" s="6">
        <v>0.69099999999999995</v>
      </c>
      <c r="G4" s="6">
        <v>0.68500000000000005</v>
      </c>
      <c r="H4" s="6">
        <v>0.72899999999999998</v>
      </c>
      <c r="I4" s="6">
        <v>0.40300000000000002</v>
      </c>
      <c r="K4" s="3" t="s">
        <v>24</v>
      </c>
      <c r="M4" s="5" t="s">
        <v>7</v>
      </c>
      <c r="N4" s="6">
        <v>180</v>
      </c>
      <c r="O4" s="6">
        <v>442</v>
      </c>
      <c r="P4" s="6">
        <v>0.65</v>
      </c>
      <c r="Q4" s="6">
        <v>0.69499999999999995</v>
      </c>
      <c r="R4" s="6">
        <v>0.73</v>
      </c>
      <c r="S4" s="6">
        <v>0.40899999999999997</v>
      </c>
      <c r="U4" s="3" t="s">
        <v>38</v>
      </c>
      <c r="W4" s="5" t="s">
        <v>7</v>
      </c>
      <c r="X4" s="6">
        <v>180</v>
      </c>
      <c r="Y4" s="6">
        <v>442</v>
      </c>
      <c r="Z4" s="6" t="s">
        <v>54</v>
      </c>
      <c r="AA4" s="6" t="s">
        <v>55</v>
      </c>
      <c r="AB4" s="6" t="s">
        <v>56</v>
      </c>
      <c r="AC4" s="6" t="s">
        <v>57</v>
      </c>
    </row>
    <row r="5" spans="1:29" x14ac:dyDescent="0.25">
      <c r="A5" s="3" t="s">
        <v>14</v>
      </c>
      <c r="C5" s="5" t="s">
        <v>8</v>
      </c>
      <c r="D5" s="6">
        <v>180</v>
      </c>
      <c r="E5" s="6">
        <v>74</v>
      </c>
      <c r="F5" s="6">
        <v>0.50700000000000001</v>
      </c>
      <c r="G5" s="6">
        <v>0.25700000000000001</v>
      </c>
      <c r="H5" s="6">
        <v>0.42799999999999999</v>
      </c>
      <c r="I5" s="6">
        <v>0.17499999999999999</v>
      </c>
      <c r="K5" s="3" t="s">
        <v>14</v>
      </c>
      <c r="M5" s="5" t="s">
        <v>8</v>
      </c>
      <c r="N5" s="6">
        <v>180</v>
      </c>
      <c r="O5" s="6">
        <v>74</v>
      </c>
      <c r="P5" s="6">
        <v>0.50700000000000001</v>
      </c>
      <c r="Q5" s="6">
        <v>0.33300000000000002</v>
      </c>
      <c r="R5" s="6">
        <v>0.39100000000000001</v>
      </c>
      <c r="S5" s="6">
        <v>0.182</v>
      </c>
      <c r="U5" s="3" t="s">
        <v>14</v>
      </c>
      <c r="W5" s="5" t="s">
        <v>8</v>
      </c>
      <c r="X5" s="6">
        <v>180</v>
      </c>
      <c r="Y5" s="6">
        <v>74</v>
      </c>
      <c r="Z5" s="6" t="s">
        <v>58</v>
      </c>
      <c r="AA5" s="6" t="s">
        <v>59</v>
      </c>
      <c r="AB5" s="6" t="s">
        <v>60</v>
      </c>
      <c r="AC5" s="6" t="s">
        <v>61</v>
      </c>
    </row>
    <row r="6" spans="1:29" x14ac:dyDescent="0.25">
      <c r="A6" s="3" t="s">
        <v>15</v>
      </c>
      <c r="C6" s="5" t="s">
        <v>9</v>
      </c>
      <c r="D6" s="6">
        <v>180</v>
      </c>
      <c r="E6" s="6">
        <v>113</v>
      </c>
      <c r="F6" s="6">
        <v>0.63600000000000001</v>
      </c>
      <c r="G6" s="6">
        <v>0.72599999999999998</v>
      </c>
      <c r="H6" s="6">
        <v>0.72099999999999997</v>
      </c>
      <c r="I6" s="6">
        <v>0.38200000000000001</v>
      </c>
      <c r="K6" s="3" t="s">
        <v>15</v>
      </c>
      <c r="M6" s="5" t="s">
        <v>9</v>
      </c>
      <c r="N6" s="6">
        <v>180</v>
      </c>
      <c r="O6" s="6">
        <v>113</v>
      </c>
      <c r="P6" s="6">
        <v>0.55000000000000004</v>
      </c>
      <c r="Q6" s="6">
        <v>0.72599999999999998</v>
      </c>
      <c r="R6" s="6">
        <v>0.7</v>
      </c>
      <c r="S6" s="6">
        <v>0.36899999999999999</v>
      </c>
      <c r="U6" s="3" t="s">
        <v>39</v>
      </c>
      <c r="W6" s="5" t="s">
        <v>9</v>
      </c>
      <c r="X6" s="6">
        <v>180</v>
      </c>
      <c r="Y6" s="6">
        <v>113</v>
      </c>
      <c r="Z6" s="6" t="s">
        <v>62</v>
      </c>
      <c r="AA6" s="6" t="s">
        <v>63</v>
      </c>
      <c r="AB6" s="6" t="s">
        <v>64</v>
      </c>
      <c r="AC6" s="6" t="s">
        <v>65</v>
      </c>
    </row>
    <row r="7" spans="1:29" x14ac:dyDescent="0.25">
      <c r="A7" s="3" t="s">
        <v>16</v>
      </c>
      <c r="C7" s="5" t="s">
        <v>10</v>
      </c>
      <c r="D7" s="6">
        <v>180</v>
      </c>
      <c r="E7" s="6">
        <v>80</v>
      </c>
      <c r="F7" s="6">
        <v>0.77700000000000002</v>
      </c>
      <c r="G7" s="6">
        <v>0.92500000000000004</v>
      </c>
      <c r="H7" s="6">
        <v>0.92700000000000005</v>
      </c>
      <c r="I7" s="6">
        <v>0.58699999999999997</v>
      </c>
      <c r="K7" s="3" t="s">
        <v>16</v>
      </c>
      <c r="M7" s="5" t="s">
        <v>10</v>
      </c>
      <c r="N7" s="6">
        <v>180</v>
      </c>
      <c r="O7" s="6">
        <v>80</v>
      </c>
      <c r="P7" s="6">
        <v>0.78100000000000003</v>
      </c>
      <c r="Q7" s="6">
        <v>0.9</v>
      </c>
      <c r="R7" s="6">
        <v>0.92800000000000005</v>
      </c>
      <c r="S7" s="6">
        <v>0.58699999999999997</v>
      </c>
      <c r="U7" s="3" t="s">
        <v>40</v>
      </c>
      <c r="W7" s="5" t="s">
        <v>10</v>
      </c>
      <c r="X7" s="6">
        <v>180</v>
      </c>
      <c r="Y7" s="6">
        <v>80</v>
      </c>
      <c r="Z7" s="6" t="s">
        <v>66</v>
      </c>
      <c r="AA7" s="6" t="s">
        <v>67</v>
      </c>
      <c r="AB7" s="6" t="s">
        <v>68</v>
      </c>
      <c r="AC7" s="6" t="s">
        <v>69</v>
      </c>
    </row>
    <row r="8" spans="1:29" x14ac:dyDescent="0.25">
      <c r="A8" s="3" t="s">
        <v>25</v>
      </c>
      <c r="C8" s="5" t="s">
        <v>11</v>
      </c>
      <c r="D8" s="6">
        <v>180</v>
      </c>
      <c r="E8" s="6">
        <v>33</v>
      </c>
      <c r="F8" s="6">
        <v>0.84699999999999998</v>
      </c>
      <c r="G8" s="6">
        <v>0.69699999999999995</v>
      </c>
      <c r="H8" s="6">
        <v>0.78300000000000003</v>
      </c>
      <c r="I8" s="6">
        <v>0.496</v>
      </c>
      <c r="K8" s="3" t="s">
        <v>25</v>
      </c>
      <c r="M8" s="5" t="s">
        <v>11</v>
      </c>
      <c r="N8" s="6">
        <v>180</v>
      </c>
      <c r="O8" s="6">
        <v>33</v>
      </c>
      <c r="P8" s="6">
        <v>0.81299999999999994</v>
      </c>
      <c r="Q8" s="6">
        <v>0.60599999999999998</v>
      </c>
      <c r="R8" s="6">
        <v>0.78</v>
      </c>
      <c r="S8" s="6">
        <v>0.48499999999999999</v>
      </c>
      <c r="U8" s="3" t="s">
        <v>41</v>
      </c>
      <c r="W8" s="5" t="s">
        <v>11</v>
      </c>
      <c r="X8" s="6">
        <v>180</v>
      </c>
      <c r="Y8" s="6">
        <v>33</v>
      </c>
      <c r="Z8" s="6" t="s">
        <v>70</v>
      </c>
      <c r="AA8" s="6" t="s">
        <v>71</v>
      </c>
      <c r="AB8" s="6" t="s">
        <v>72</v>
      </c>
      <c r="AC8" s="6" t="s">
        <v>73</v>
      </c>
    </row>
    <row r="9" spans="1:29" x14ac:dyDescent="0.25">
      <c r="A9" s="3"/>
      <c r="C9" s="5" t="s">
        <v>12</v>
      </c>
      <c r="D9" s="6">
        <v>180</v>
      </c>
      <c r="E9" s="6">
        <v>75</v>
      </c>
      <c r="F9" s="6">
        <v>0.56599999999999995</v>
      </c>
      <c r="G9" s="6">
        <v>0.61</v>
      </c>
      <c r="H9" s="6">
        <v>0.58699999999999997</v>
      </c>
      <c r="I9" s="6">
        <v>0.27600000000000002</v>
      </c>
      <c r="K9" s="3"/>
      <c r="M9" s="5" t="s">
        <v>12</v>
      </c>
      <c r="N9" s="6">
        <v>180</v>
      </c>
      <c r="O9" s="6">
        <v>75</v>
      </c>
      <c r="P9" s="6">
        <v>0.58199999999999996</v>
      </c>
      <c r="Q9" s="6">
        <v>0.74199999999999999</v>
      </c>
      <c r="R9" s="6">
        <v>0.69599999999999995</v>
      </c>
      <c r="S9" s="6">
        <v>0.32500000000000001</v>
      </c>
      <c r="U9" s="3" t="s">
        <v>42</v>
      </c>
      <c r="W9" s="5" t="s">
        <v>12</v>
      </c>
      <c r="X9" s="6">
        <v>180</v>
      </c>
      <c r="Y9" s="6">
        <v>75</v>
      </c>
      <c r="Z9" s="6" t="s">
        <v>74</v>
      </c>
      <c r="AA9" s="6" t="s">
        <v>75</v>
      </c>
      <c r="AB9" s="6" t="s">
        <v>76</v>
      </c>
      <c r="AC9" s="6" t="s">
        <v>77</v>
      </c>
    </row>
    <row r="10" spans="1:29" x14ac:dyDescent="0.25">
      <c r="A10" s="3" t="s">
        <v>26</v>
      </c>
      <c r="C10" s="5" t="s">
        <v>13</v>
      </c>
      <c r="D10" s="6">
        <v>180</v>
      </c>
      <c r="E10" s="6">
        <v>67</v>
      </c>
      <c r="F10" s="6">
        <v>0.81399999999999995</v>
      </c>
      <c r="G10" s="6">
        <v>0.89600000000000002</v>
      </c>
      <c r="H10" s="6">
        <v>0.92800000000000005</v>
      </c>
      <c r="I10" s="6">
        <v>0.504</v>
      </c>
      <c r="K10" s="3" t="s">
        <v>26</v>
      </c>
      <c r="M10" s="5" t="s">
        <v>13</v>
      </c>
      <c r="N10" s="6">
        <v>180</v>
      </c>
      <c r="O10" s="6">
        <v>67</v>
      </c>
      <c r="P10" s="6">
        <v>0.66600000000000004</v>
      </c>
      <c r="Q10" s="6">
        <v>0.86299999999999999</v>
      </c>
      <c r="R10" s="6">
        <v>0.88500000000000001</v>
      </c>
      <c r="S10" s="6">
        <v>0.504</v>
      </c>
      <c r="U10" s="3" t="s">
        <v>43</v>
      </c>
      <c r="W10" s="5" t="s">
        <v>13</v>
      </c>
      <c r="X10" s="6">
        <v>180</v>
      </c>
      <c r="Y10" s="6">
        <v>67</v>
      </c>
      <c r="Z10" s="6" t="s">
        <v>78</v>
      </c>
      <c r="AA10" s="6" t="s">
        <v>79</v>
      </c>
      <c r="AB10" s="6" t="s">
        <v>80</v>
      </c>
      <c r="AC10" s="6" t="s">
        <v>81</v>
      </c>
    </row>
    <row r="11" spans="1:29" x14ac:dyDescent="0.25">
      <c r="A11" s="3" t="s">
        <v>27</v>
      </c>
      <c r="C11" s="1" t="s">
        <v>28</v>
      </c>
      <c r="K11" s="3" t="s">
        <v>27</v>
      </c>
      <c r="M11" s="1" t="s">
        <v>28</v>
      </c>
      <c r="U11" s="3"/>
      <c r="W11" s="1" t="s">
        <v>28</v>
      </c>
    </row>
    <row r="12" spans="1:29" x14ac:dyDescent="0.25">
      <c r="A12" s="3" t="s">
        <v>29</v>
      </c>
      <c r="K12" s="3" t="s">
        <v>29</v>
      </c>
      <c r="U12" s="3" t="s">
        <v>44</v>
      </c>
    </row>
    <row r="13" spans="1:29" x14ac:dyDescent="0.25">
      <c r="A13" s="3" t="s">
        <v>30</v>
      </c>
      <c r="K13" s="3" t="s">
        <v>30</v>
      </c>
      <c r="U13" s="3" t="s">
        <v>45</v>
      </c>
    </row>
    <row r="14" spans="1:29" x14ac:dyDescent="0.25">
      <c r="A14" s="3" t="s">
        <v>31</v>
      </c>
      <c r="K14" s="3" t="s">
        <v>31</v>
      </c>
      <c r="O14" s="8" t="s">
        <v>36</v>
      </c>
      <c r="P14" s="8"/>
      <c r="U14" s="3" t="s">
        <v>46</v>
      </c>
    </row>
    <row r="15" spans="1:29" x14ac:dyDescent="0.25">
      <c r="A15" s="3" t="s">
        <v>32</v>
      </c>
      <c r="K15" s="3" t="s">
        <v>32</v>
      </c>
      <c r="P15" s="4" t="s">
        <v>3</v>
      </c>
      <c r="Q15" s="4" t="s">
        <v>4</v>
      </c>
      <c r="R15" s="4" t="s">
        <v>5</v>
      </c>
      <c r="S15" s="4" t="s">
        <v>6</v>
      </c>
      <c r="U15" s="3" t="s">
        <v>47</v>
      </c>
      <c r="Y15" s="8" t="s">
        <v>36</v>
      </c>
      <c r="Z15" s="8"/>
    </row>
    <row r="16" spans="1:29" x14ac:dyDescent="0.25">
      <c r="A16" s="3" t="s">
        <v>33</v>
      </c>
      <c r="K16" s="3" t="s">
        <v>33</v>
      </c>
      <c r="O16" s="5" t="s">
        <v>7</v>
      </c>
      <c r="P16" s="7">
        <f>(P4-F4)/F4</f>
        <v>-5.9334298118668492E-2</v>
      </c>
      <c r="Q16" s="7">
        <f t="shared" ref="Q16:S22" si="0">(Q4-G4)/G4</f>
        <v>1.4598540145985252E-2</v>
      </c>
      <c r="R16" s="7">
        <f t="shared" si="0"/>
        <v>1.3717421124828544E-3</v>
      </c>
      <c r="S16" s="7">
        <f t="shared" si="0"/>
        <v>1.4888337468982505E-2</v>
      </c>
      <c r="U16" s="3" t="s">
        <v>48</v>
      </c>
      <c r="Z16" s="4" t="s">
        <v>3</v>
      </c>
      <c r="AA16" s="4" t="s">
        <v>4</v>
      </c>
      <c r="AB16" s="4" t="s">
        <v>5</v>
      </c>
      <c r="AC16" s="4" t="s">
        <v>6</v>
      </c>
    </row>
    <row r="17" spans="1:29" x14ac:dyDescent="0.25">
      <c r="A17" s="3" t="s">
        <v>34</v>
      </c>
      <c r="K17" s="3" t="s">
        <v>34</v>
      </c>
      <c r="O17" s="5" t="s">
        <v>8</v>
      </c>
      <c r="P17" s="7">
        <f t="shared" ref="P17:P22" si="1">(P5-F5)/F5</f>
        <v>0</v>
      </c>
      <c r="Q17" s="7">
        <f t="shared" si="0"/>
        <v>0.29571984435797671</v>
      </c>
      <c r="R17" s="7">
        <f t="shared" si="0"/>
        <v>-8.6448598130841076E-2</v>
      </c>
      <c r="S17" s="7">
        <f t="shared" si="0"/>
        <v>4.0000000000000036E-2</v>
      </c>
      <c r="U17" s="3" t="s">
        <v>49</v>
      </c>
      <c r="Y17" s="5" t="s">
        <v>7</v>
      </c>
      <c r="Z17" s="7" t="e">
        <f>(Z5-P5)/P5</f>
        <v>#VALUE!</v>
      </c>
      <c r="AA17" s="7" t="e">
        <f t="shared" ref="AA17:AA23" si="2">(AA5-Q5)/Q5</f>
        <v>#VALUE!</v>
      </c>
      <c r="AB17" s="7" t="e">
        <f t="shared" ref="AB17:AB23" si="3">(AB5-R5)/R5</f>
        <v>#VALUE!</v>
      </c>
      <c r="AC17" s="7" t="e">
        <f t="shared" ref="AC17:AC23" si="4">(AC5-S5)/S5</f>
        <v>#VALUE!</v>
      </c>
    </row>
    <row r="18" spans="1:29" x14ac:dyDescent="0.25">
      <c r="A18" s="3" t="s">
        <v>35</v>
      </c>
      <c r="K18" s="3" t="s">
        <v>35</v>
      </c>
      <c r="O18" s="5" t="s">
        <v>9</v>
      </c>
      <c r="P18" s="7">
        <f t="shared" si="1"/>
        <v>-0.13522012578616346</v>
      </c>
      <c r="Q18" s="7">
        <f t="shared" si="0"/>
        <v>0</v>
      </c>
      <c r="R18" s="7">
        <f t="shared" si="0"/>
        <v>-2.9126213592233035E-2</v>
      </c>
      <c r="S18" s="7">
        <f t="shared" si="0"/>
        <v>-3.4031413612565474E-2</v>
      </c>
      <c r="U18" s="3" t="s">
        <v>50</v>
      </c>
      <c r="Y18" s="5" t="s">
        <v>8</v>
      </c>
      <c r="Z18" s="7" t="e">
        <f t="shared" ref="Z18:Z23" si="5">(Z6-P6)/P6</f>
        <v>#VALUE!</v>
      </c>
      <c r="AA18" s="7" t="e">
        <f t="shared" si="2"/>
        <v>#VALUE!</v>
      </c>
      <c r="AB18" s="7" t="e">
        <f t="shared" si="3"/>
        <v>#VALUE!</v>
      </c>
      <c r="AC18" s="7" t="e">
        <f t="shared" si="4"/>
        <v>#VALUE!</v>
      </c>
    </row>
    <row r="19" spans="1:29" x14ac:dyDescent="0.25">
      <c r="A19" s="3"/>
      <c r="K19" s="3"/>
      <c r="O19" s="5" t="s">
        <v>10</v>
      </c>
      <c r="P19" s="7">
        <f t="shared" si="1"/>
        <v>5.1480051480051522E-3</v>
      </c>
      <c r="Q19" s="7">
        <f t="shared" si="0"/>
        <v>-2.7027027027027049E-2</v>
      </c>
      <c r="R19" s="7">
        <f t="shared" si="0"/>
        <v>1.0787486515641865E-3</v>
      </c>
      <c r="S19" s="7">
        <f t="shared" si="0"/>
        <v>0</v>
      </c>
      <c r="U19" s="3" t="s">
        <v>51</v>
      </c>
      <c r="Y19" s="5" t="s">
        <v>9</v>
      </c>
      <c r="Z19" s="7" t="e">
        <f t="shared" si="5"/>
        <v>#VALUE!</v>
      </c>
      <c r="AA19" s="7" t="e">
        <f t="shared" si="2"/>
        <v>#VALUE!</v>
      </c>
      <c r="AB19" s="7" t="e">
        <f t="shared" si="3"/>
        <v>#VALUE!</v>
      </c>
      <c r="AC19" s="7" t="e">
        <f t="shared" si="4"/>
        <v>#VALUE!</v>
      </c>
    </row>
    <row r="20" spans="1:29" x14ac:dyDescent="0.25">
      <c r="A20" s="3" t="s">
        <v>17</v>
      </c>
      <c r="K20" s="3" t="s">
        <v>17</v>
      </c>
      <c r="O20" s="5" t="s">
        <v>11</v>
      </c>
      <c r="P20" s="7">
        <f t="shared" si="1"/>
        <v>-4.0141676505312904E-2</v>
      </c>
      <c r="Q20" s="7">
        <f t="shared" si="0"/>
        <v>-0.13055954088952651</v>
      </c>
      <c r="R20" s="7">
        <f t="shared" si="0"/>
        <v>-3.8314176245210761E-3</v>
      </c>
      <c r="S20" s="7">
        <f t="shared" si="0"/>
        <v>-2.2177419354838728E-2</v>
      </c>
      <c r="U20" s="3" t="s">
        <v>52</v>
      </c>
      <c r="Y20" s="5" t="s">
        <v>10</v>
      </c>
      <c r="Z20" s="7" t="e">
        <f t="shared" si="5"/>
        <v>#VALUE!</v>
      </c>
      <c r="AA20" s="7" t="e">
        <f t="shared" si="2"/>
        <v>#VALUE!</v>
      </c>
      <c r="AB20" s="7" t="e">
        <f t="shared" si="3"/>
        <v>#VALUE!</v>
      </c>
      <c r="AC20" s="7" t="e">
        <f t="shared" si="4"/>
        <v>#VALUE!</v>
      </c>
    </row>
    <row r="21" spans="1:29" x14ac:dyDescent="0.25">
      <c r="A21" s="3" t="s">
        <v>18</v>
      </c>
      <c r="K21" s="3" t="s">
        <v>18</v>
      </c>
      <c r="O21" s="5" t="s">
        <v>12</v>
      </c>
      <c r="P21" s="7">
        <f t="shared" si="1"/>
        <v>2.8268551236749144E-2</v>
      </c>
      <c r="Q21" s="7">
        <f t="shared" si="0"/>
        <v>0.21639344262295082</v>
      </c>
      <c r="R21" s="7">
        <f t="shared" si="0"/>
        <v>0.18568994889267459</v>
      </c>
      <c r="S21" s="7">
        <f t="shared" si="0"/>
        <v>0.1775362318840579</v>
      </c>
      <c r="U21" s="3"/>
      <c r="Y21" s="5" t="s">
        <v>11</v>
      </c>
      <c r="Z21" s="7" t="e">
        <f t="shared" si="5"/>
        <v>#VALUE!</v>
      </c>
      <c r="AA21" s="7" t="e">
        <f t="shared" si="2"/>
        <v>#VALUE!</v>
      </c>
      <c r="AB21" s="7" t="e">
        <f t="shared" si="3"/>
        <v>#VALUE!</v>
      </c>
      <c r="AC21" s="7" t="e">
        <f t="shared" si="4"/>
        <v>#VALUE!</v>
      </c>
    </row>
    <row r="22" spans="1:29" x14ac:dyDescent="0.25">
      <c r="A22" s="3" t="s">
        <v>19</v>
      </c>
      <c r="K22" s="3" t="s">
        <v>19</v>
      </c>
      <c r="O22" s="5" t="s">
        <v>13</v>
      </c>
      <c r="P22" s="7">
        <f t="shared" si="1"/>
        <v>-0.18181818181818171</v>
      </c>
      <c r="Q22" s="7">
        <f t="shared" si="0"/>
        <v>-3.6830357142857172E-2</v>
      </c>
      <c r="R22" s="7">
        <f t="shared" si="0"/>
        <v>-4.6336206896551761E-2</v>
      </c>
      <c r="S22" s="7">
        <f t="shared" si="0"/>
        <v>0</v>
      </c>
      <c r="U22" s="3" t="s">
        <v>53</v>
      </c>
      <c r="Y22" s="5" t="s">
        <v>12</v>
      </c>
      <c r="Z22" s="7" t="e">
        <f t="shared" si="5"/>
        <v>#VALUE!</v>
      </c>
      <c r="AA22" s="7" t="e">
        <f t="shared" si="2"/>
        <v>#VALUE!</v>
      </c>
      <c r="AB22" s="7" t="e">
        <f t="shared" si="3"/>
        <v>#VALUE!</v>
      </c>
      <c r="AC22" s="7" t="e">
        <f t="shared" si="4"/>
        <v>#VALUE!</v>
      </c>
    </row>
    <row r="23" spans="1:29" x14ac:dyDescent="0.25">
      <c r="U23" s="3" t="s">
        <v>18</v>
      </c>
      <c r="Y23" s="5" t="s">
        <v>13</v>
      </c>
      <c r="Z23" s="7" t="e">
        <f t="shared" si="5"/>
        <v>#DIV/0!</v>
      </c>
      <c r="AA23" s="7" t="e">
        <f t="shared" si="2"/>
        <v>#DIV/0!</v>
      </c>
      <c r="AB23" s="7" t="e">
        <f t="shared" si="3"/>
        <v>#DIV/0!</v>
      </c>
      <c r="AC23" s="7" t="e">
        <f t="shared" si="4"/>
        <v>#DIV/0!</v>
      </c>
    </row>
    <row r="24" spans="1:29" x14ac:dyDescent="0.25">
      <c r="U24" s="3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IÑAKI MENDOZA MARTINEZ</dc:creator>
  <cp:lastModifiedBy>IÑAKI MENDOZA MARTINEZ</cp:lastModifiedBy>
  <dcterms:created xsi:type="dcterms:W3CDTF">2026-03-24T15:20:12Z</dcterms:created>
  <dcterms:modified xsi:type="dcterms:W3CDTF">2026-03-24T17:44:13Z</dcterms:modified>
</cp:coreProperties>
</file>